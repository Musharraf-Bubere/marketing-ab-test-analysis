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marketing-ab-test-analysis\dashboard\"/>
    </mc:Choice>
  </mc:AlternateContent>
  <xr:revisionPtr revIDLastSave="0" documentId="13_ncr:1_{6748DEDE-0EF9-4156-8214-7A90C61C8C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s_Assumptions" sheetId="1" r:id="rId1"/>
    <sheet name="Executive_Summary" sheetId="2" r:id="rId2"/>
    <sheet name="Sensitivity_Matrix" sheetId="3" r:id="rId3"/>
    <sheet name="Scenario_Comparison" sheetId="4" r:id="rId4"/>
    <sheet name="Timing_Hypothesis" sheetId="5" r:id="rId5"/>
  </sheets>
  <calcPr calcId="191029"/>
</workbook>
</file>

<file path=xl/calcChain.xml><?xml version="1.0" encoding="utf-8"?>
<calcChain xmlns="http://schemas.openxmlformats.org/spreadsheetml/2006/main">
  <c r="G12" i="5" l="1"/>
  <c r="G11" i="5"/>
  <c r="G10" i="5"/>
  <c r="G9" i="5"/>
  <c r="G8" i="5"/>
  <c r="G7" i="5"/>
  <c r="G6" i="5"/>
  <c r="B6" i="4"/>
  <c r="C6" i="4" s="1"/>
  <c r="D10" i="2"/>
  <c r="C10" i="2"/>
  <c r="B10" i="2"/>
  <c r="D9" i="2"/>
  <c r="C9" i="2"/>
  <c r="C11" i="2" s="1"/>
  <c r="B9" i="2"/>
  <c r="B11" i="2" s="1"/>
  <c r="D7" i="2"/>
  <c r="C7" i="2"/>
  <c r="B7" i="2"/>
  <c r="D6" i="2"/>
  <c r="B6" i="2"/>
  <c r="B27" i="1"/>
  <c r="B28" i="1" s="1"/>
  <c r="B29" i="1" s="1"/>
  <c r="B17" i="1"/>
  <c r="B19" i="1" s="1"/>
  <c r="B8" i="1"/>
  <c r="D11" i="2" l="1"/>
  <c r="D14" i="2"/>
  <c r="D20" i="2"/>
  <c r="B14" i="2"/>
  <c r="B20" i="2"/>
  <c r="D19" i="2"/>
  <c r="D8" i="2"/>
  <c r="B19" i="2"/>
  <c r="B8" i="2"/>
  <c r="B8" i="4"/>
  <c r="C8" i="4" s="1"/>
  <c r="H8" i="4" s="1"/>
  <c r="B9" i="4"/>
  <c r="C9" i="4" s="1"/>
  <c r="H9" i="4" s="1"/>
  <c r="B7" i="4"/>
  <c r="C7" i="4" s="1"/>
  <c r="H7" i="4" s="1"/>
  <c r="J14" i="3"/>
  <c r="K14" i="3"/>
  <c r="L14" i="3"/>
  <c r="B15" i="3"/>
  <c r="C15" i="3"/>
  <c r="D15" i="3"/>
  <c r="E15" i="3"/>
  <c r="F15" i="3"/>
  <c r="G15" i="3"/>
  <c r="H15" i="3"/>
  <c r="I15" i="3"/>
  <c r="J15" i="3"/>
  <c r="K15" i="3"/>
  <c r="L15" i="3"/>
  <c r="D6" i="4"/>
  <c r="E6" i="4" s="1"/>
  <c r="D7" i="4"/>
  <c r="E7" i="4" s="1"/>
  <c r="K5" i="3"/>
  <c r="C6" i="2"/>
  <c r="B5" i="3"/>
  <c r="C5" i="3"/>
  <c r="D5" i="3"/>
  <c r="E5" i="3"/>
  <c r="F5" i="3"/>
  <c r="G5" i="3"/>
  <c r="H5" i="3"/>
  <c r="I5" i="3"/>
  <c r="J5" i="3"/>
  <c r="L5" i="3"/>
  <c r="B6" i="3"/>
  <c r="C6" i="3"/>
  <c r="D6" i="3"/>
  <c r="E6" i="3"/>
  <c r="F6" i="3"/>
  <c r="G6" i="3"/>
  <c r="H6" i="3"/>
  <c r="I6" i="3"/>
  <c r="J6" i="3"/>
  <c r="K6" i="3"/>
  <c r="L6" i="3"/>
  <c r="B7" i="3"/>
  <c r="C7" i="3"/>
  <c r="D7" i="3"/>
  <c r="E7" i="3"/>
  <c r="F7" i="3"/>
  <c r="G7" i="3"/>
  <c r="H7" i="3"/>
  <c r="I7" i="3"/>
  <c r="J7" i="3"/>
  <c r="K7" i="3"/>
  <c r="L7" i="3"/>
  <c r="B8" i="3"/>
  <c r="D8" i="4"/>
  <c r="E8" i="4" s="1"/>
  <c r="D9" i="4"/>
  <c r="E9" i="4" s="1"/>
  <c r="C8" i="3"/>
  <c r="D8" i="3"/>
  <c r="E8" i="3"/>
  <c r="F8" i="3"/>
  <c r="G8" i="3"/>
  <c r="H8" i="3"/>
  <c r="I8" i="3"/>
  <c r="J8" i="3"/>
  <c r="K8" i="3"/>
  <c r="L8" i="3"/>
  <c r="B9" i="3"/>
  <c r="C9" i="3"/>
  <c r="D9" i="3"/>
  <c r="E9" i="3"/>
  <c r="F9" i="3"/>
  <c r="G9" i="3"/>
  <c r="H9" i="3"/>
  <c r="I9" i="3"/>
  <c r="J9" i="3"/>
  <c r="K9" i="3"/>
  <c r="L9" i="3"/>
  <c r="B10" i="3"/>
  <c r="C10" i="3"/>
  <c r="D10" i="3"/>
  <c r="E10" i="3"/>
  <c r="F10" i="3"/>
  <c r="G10" i="3"/>
  <c r="H10" i="3"/>
  <c r="I10" i="3"/>
  <c r="J10" i="3"/>
  <c r="K10" i="3"/>
  <c r="L10" i="3"/>
  <c r="B11" i="3"/>
  <c r="C11" i="3"/>
  <c r="D11" i="3"/>
  <c r="E11" i="3"/>
  <c r="F11" i="3"/>
  <c r="G11" i="3"/>
  <c r="H11" i="3"/>
  <c r="I11" i="3"/>
  <c r="J11" i="3"/>
  <c r="K11" i="3"/>
  <c r="L11" i="3"/>
  <c r="B12" i="3"/>
  <c r="C12" i="3"/>
  <c r="D12" i="3"/>
  <c r="E12" i="3"/>
  <c r="F12" i="3"/>
  <c r="G12" i="3"/>
  <c r="H12" i="3"/>
  <c r="I12" i="3"/>
  <c r="J12" i="3"/>
  <c r="K12" i="3"/>
  <c r="L12" i="3"/>
  <c r="B13" i="3"/>
  <c r="C13" i="3"/>
  <c r="D13" i="3"/>
  <c r="E13" i="3"/>
  <c r="F13" i="3"/>
  <c r="G13" i="3"/>
  <c r="H13" i="3"/>
  <c r="I13" i="3"/>
  <c r="J13" i="3"/>
  <c r="K13" i="3"/>
  <c r="L13" i="3"/>
  <c r="B14" i="3"/>
  <c r="C14" i="3"/>
  <c r="D14" i="3"/>
  <c r="E14" i="3"/>
  <c r="F14" i="3"/>
  <c r="G14" i="3"/>
  <c r="H14" i="3"/>
  <c r="I14" i="3"/>
  <c r="D12" i="2" l="1"/>
  <c r="D13" i="2"/>
  <c r="B12" i="2"/>
  <c r="B13" i="2"/>
  <c r="F6" i="4"/>
  <c r="G6" i="4"/>
  <c r="F7" i="4"/>
  <c r="G7" i="4"/>
  <c r="C8" i="2"/>
  <c r="C19" i="2"/>
  <c r="F8" i="4"/>
  <c r="G8" i="4"/>
  <c r="G9" i="4"/>
  <c r="F9" i="4"/>
  <c r="C14" i="2"/>
  <c r="C20" i="2"/>
  <c r="C13" i="2" l="1"/>
  <c r="C12" i="2"/>
</calcChain>
</file>

<file path=xl/sharedStrings.xml><?xml version="1.0" encoding="utf-8"?>
<sst xmlns="http://schemas.openxmlformats.org/spreadsheetml/2006/main" count="159" uniqueCount="138">
  <si>
    <t>Marketing Campaign A/B Test: Commercial Impact Model</t>
  </si>
  <si>
    <t>[HYPOTHETICAL ASSUMPTIONS - FOR PLANNING &amp; SCENARIO EVALUATION ONLY]</t>
  </si>
  <si>
    <t>1. Financial &amp; Unit Economics Assumptions (User Inputs)</t>
  </si>
  <si>
    <t>Parameter</t>
  </si>
  <si>
    <t>Base Case</t>
  </si>
  <si>
    <t>Unit</t>
  </si>
  <si>
    <t>Sensitivity Range / Notes</t>
  </si>
  <si>
    <t>Gross Margin per Conversion</t>
  </si>
  <si>
    <t>$ / order</t>
  </si>
  <si>
    <t>Sensitivity tested from $5 to $100</t>
  </si>
  <si>
    <t>Cost per Thousand Impressions (CPM)</t>
  </si>
  <si>
    <t>$ / 1k impressions</t>
  </si>
  <si>
    <t>Sensitivity tested from $1 to $10</t>
  </si>
  <si>
    <t>Cost per Single Ad Impression</t>
  </si>
  <si>
    <t>$ / impression</t>
  </si>
  <si>
    <t>Derived formula (= CPM / 1,000)</t>
  </si>
  <si>
    <t>2. Empirical Experiment Metrics (from Executed A/B Test Data)</t>
  </si>
  <si>
    <t>Experiment Metric</t>
  </si>
  <si>
    <t>Observed Value</t>
  </si>
  <si>
    <t>Source / Derivation</t>
  </si>
  <si>
    <t>Treatment Population (Ad Cohort)</t>
  </si>
  <si>
    <t>users</t>
  </si>
  <si>
    <t>Executed SQL / SQLite database</t>
  </si>
  <si>
    <t>Control Population (PSA Cohort)</t>
  </si>
  <si>
    <t>Treatment Total Ad Impressions Served</t>
  </si>
  <si>
    <t>impressions</t>
  </si>
  <si>
    <t>Sum of total_ads in Treatment cohort</t>
  </si>
  <si>
    <t>Control Baseline Conversion Rate</t>
  </si>
  <si>
    <t>rate</t>
  </si>
  <si>
    <t>420 conversions / 23,524 users (1.7854%)</t>
  </si>
  <si>
    <t>Treatment Observed Conversion Rate</t>
  </si>
  <si>
    <t>14,423 conversions / 564,577 users (2.5547%)</t>
  </si>
  <si>
    <t>Expected Baseline Conversions (Without Campaign)</t>
  </si>
  <si>
    <t>conversions</t>
  </si>
  <si>
    <t>Formula: Treatment Users * Control CR</t>
  </si>
  <si>
    <t>Treatment Total Observed Conversions</t>
  </si>
  <si>
    <t>Observed buyers in Treatment cohort</t>
  </si>
  <si>
    <t>Incremental Conversions (Point Estimate - Base Case)</t>
  </si>
  <si>
    <t>Observed Treatment - Expected Baseline</t>
  </si>
  <si>
    <t>Incremental Conversions (Low - 95% CI Lower Bound)</t>
  </si>
  <si>
    <t>564,577 users * 0.5951% pts lift (conservative bound)</t>
  </si>
  <si>
    <t>Incremental Conversions (High - 95% CI Upper Bound)</t>
  </si>
  <si>
    <t>564,577 users * 0.9434% pts lift (optimistic bound)</t>
  </si>
  <si>
    <t>3. Frequency Capping Parameters (Cap at 100 Impressions)</t>
  </si>
  <si>
    <t>Users Exposed to &gt; 100 Ads</t>
  </si>
  <si>
    <t>Treatment users seeing &gt; 100 ads</t>
  </si>
  <si>
    <t>Uncapped Impressions in 100+ Tier</t>
  </si>
  <si>
    <t>Current impressions served to 100+ tier</t>
  </si>
  <si>
    <t>Capped Impressions in 100+ Tier (Cap @ 100)</t>
  </si>
  <si>
    <t>Formula: 22,054 users * 100 ads max</t>
  </si>
  <si>
    <t>Impressions Saved via 100-Ad Cap</t>
  </si>
  <si>
    <t>Reduction in impressions beyond the 100th ad</t>
  </si>
  <si>
    <t>Total Campaign Impressions with 100-Ad Cap</t>
  </si>
  <si>
    <t>14,014,692 uncapped - 1,852,674 saved beyond 100th ad</t>
  </si>
  <si>
    <t>Incremental Conversions Generated in 100+ Tier</t>
  </si>
  <si>
    <t>Current causal lift in 100+ tier (44.2% rel lift)</t>
  </si>
  <si>
    <t>Executive Campaign Performance &amp; Break-Even Analysis</t>
  </si>
  <si>
    <t>[DYNAMIC FORMULAS DRIVEN BY INPUTS SHEET - HYPOTHETICAL ASSUMPTIONS]</t>
  </si>
  <si>
    <t>1. Financial Performance Across Statistical Confidence Bounds</t>
  </si>
  <si>
    <t>Financial Metric</t>
  </si>
  <si>
    <t>Conservative (95% CI Low)</t>
  </si>
  <si>
    <t>Base Case (Point Estimate)</t>
  </si>
  <si>
    <t>Optimistic (95% CI High)</t>
  </si>
  <si>
    <t>Formula Derivation</t>
  </si>
  <si>
    <t>Incremental Conversions</t>
  </si>
  <si>
    <t>From statistical test (CI lower / point / CI upper)</t>
  </si>
  <si>
    <t>Hypothetical user input ($40 base margin)</t>
  </si>
  <si>
    <t>Incremental Gross Profit</t>
  </si>
  <si>
    <t>Incremental Conversions * Gross Margin per Conversion</t>
  </si>
  <si>
    <t>Total Ad Impressions Served</t>
  </si>
  <si>
    <t>14,014,692 impressions (empirical)</t>
  </si>
  <si>
    <t>Cost per 1,000 Impressions (CPM)</t>
  </si>
  <si>
    <t>Hypothetical user input ($2.00 base)</t>
  </si>
  <si>
    <t>Total Campaign Media Spend</t>
  </si>
  <si>
    <t>(Total Impressions / 1,000) * CPM</t>
  </si>
  <si>
    <t>Net Incremental Profit</t>
  </si>
  <si>
    <t>Incremental Gross Profit - Total Media Spend</t>
  </si>
  <si>
    <t>Margin-based Return on Ad Spend (ROAS)</t>
  </si>
  <si>
    <t>Incremental Gross Profit / Total Media Spend</t>
  </si>
  <si>
    <t>Cost per Incremental Conversion (CAC)</t>
  </si>
  <si>
    <t>Total Media Spend / Incremental Conversions</t>
  </si>
  <si>
    <t>2. Explicit Break-Even Analysis</t>
  </si>
  <si>
    <t>Break-Even Metric</t>
  </si>
  <si>
    <t>Business Interpretation</t>
  </si>
  <si>
    <t>Break-Even CPM (Maximum viable CPM at $40 margin)</t>
  </si>
  <si>
    <t>If actual CPM exceeds this threshold, campaign is net-negative</t>
  </si>
  <si>
    <t>Break-Even Margin (Minimum required margin at $2.00 CPM)</t>
  </si>
  <si>
    <t>If gross margin per order falls below this value, campaign loses money</t>
  </si>
  <si>
    <t>2D Sensitivity Matrix: Net Incremental Profit ($)</t>
  </si>
  <si>
    <t>[BASE CASE: 4,343 INCREMENTAL CONVERSIONS | 14,014,692 IMPRESSIONS - ALL FORMULAS LIVE]</t>
  </si>
  <si>
    <t>CPM \ Margin</t>
  </si>
  <si>
    <t>Strategic Scenario Analysis: Uncapped vs. Frequency-Capped Rollout</t>
  </si>
  <si>
    <t>[CAP EVALUATED AT 100 IMPRESSIONS ACROSS 100%, 75%, AND 50% RETENTION ASSUMPTIONS]</t>
  </si>
  <si>
    <t>Scenario Strategy</t>
  </si>
  <si>
    <t>Total Impressions</t>
  </si>
  <si>
    <t>Media Spend (@ $2 CPM)</t>
  </si>
  <si>
    <t>Incremental Gross Profit (@ $40 Margin)</t>
  </si>
  <si>
    <t>Margin-based ROAS</t>
  </si>
  <si>
    <t>Spend Savings vs Uncapped</t>
  </si>
  <si>
    <t>Strategic Assessment</t>
  </si>
  <si>
    <t>Scenario A: Full Uncapped Rollout</t>
  </si>
  <si>
    <t>Standard baseline; captures full +$145.7k net profit without conversion risk</t>
  </si>
  <si>
    <t>Scenario B1: 100-Ad Cap (100% Conversions Retained)</t>
  </si>
  <si>
    <t>Optimistic cap scenario; saves $3,705 spend with zero conversion loss</t>
  </si>
  <si>
    <t>Scenario B2: 100-Ad Cap (75% Conversions Retained)</t>
  </si>
  <si>
    <t>Conservative cap scenario; loses 290 orders ($11.6k) vs $3.7k saved</t>
  </si>
  <si>
    <t>Scenario B3: 100-Ad Cap (50% Conversions Retained)</t>
  </si>
  <si>
    <t>Pessimistic cap scenario; severe conversion leakage leads to lower profit</t>
  </si>
  <si>
    <t>Scenario C: Day-of-Week Budget Shift (Exploratory Operational Hypothesis)</t>
  </si>
  <si>
    <t>[CAVEAT: THURSDAY AND SUNDAY WERE NOT STATISTICALLY SIGNIFICANT AFTER BONFERRONI. THIS IS A HYPOTHESIS TO TEST VIA RANDOMIZED HOLDOUT, NOT AN OPERATIONAL ROLLOUT RULE.]</t>
  </si>
  <si>
    <t>Day of Week</t>
  </si>
  <si>
    <t>Treatment Users</t>
  </si>
  <si>
    <t>Observed Treatment CR</t>
  </si>
  <si>
    <t>Control CR</t>
  </si>
  <si>
    <t>Observed Lift (% pts)</t>
  </si>
  <si>
    <t>Bonferroni Verdict</t>
  </si>
  <si>
    <t>Current Media Spend (@ $2 CPM)</t>
  </si>
  <si>
    <t>Operational Holdout Test Plan</t>
  </si>
  <si>
    <t>Monday</t>
  </si>
  <si>
    <t>Significant (p=0.0005)</t>
  </si>
  <si>
    <t>Maintain high bid priority; high-volume driver</t>
  </si>
  <si>
    <t>Tuesday</t>
  </si>
  <si>
    <t>Significant (p&lt;0.0001)</t>
  </si>
  <si>
    <t>Primary candidate for budget expansion (+111% lift)</t>
  </si>
  <si>
    <t>Wednesday</t>
  </si>
  <si>
    <t>Significant (p=0.0004)</t>
  </si>
  <si>
    <t>Maintain steady allocation</t>
  </si>
  <si>
    <t>Thursday</t>
  </si>
  <si>
    <t>NOT Significant (p=0.555)</t>
  </si>
  <si>
    <t>Run randomized holdout: reduce bids 25% for 50% users</t>
  </si>
  <si>
    <t>Friday</t>
  </si>
  <si>
    <t>Borderline (p=0.012)</t>
  </si>
  <si>
    <t>High volume, lower lift; monitor efficiency</t>
  </si>
  <si>
    <t>Saturday</t>
  </si>
  <si>
    <t>Borderline (p=0.0075)</t>
  </si>
  <si>
    <t>Weekend baseline</t>
  </si>
  <si>
    <t>Sunday</t>
  </si>
  <si>
    <t>NOT Significant (p=0.157)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</si>
</sst>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.00"/>
    <numFmt numFmtId="165" formatCode="\$#,##0.0000"/>
    <numFmt numFmtId="166" formatCode="0.0000%"/>
    <numFmt numFmtId="167" formatCode="\$#,##0"/>
    <numFmt numFmtId="168" formatCode="0.00\x"/>
    <numFmt numFmtId="169" formatCode="\+0.0000%"/>
  </numFmts>
  <fonts count="8">
    <font>
      <sz val="11"/>
      <color theme="1"/>
      <name val="Calibri"/>
      <family val="2"/>
      <scheme val="minor"/>
    </font>
    <font>
      <b/>
      <sz val="16"/>
      <color rgb="FF1F497D"/>
      <name val="Calibri"/>
    </font>
    <font>
      <b/>
      <i/>
      <sz val="10"/>
      <color rgb="FFC00000"/>
      <name val="Calibri"/>
    </font>
    <font>
      <b/>
      <sz val="13"/>
      <color rgb="FF1F497D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  <font>
      <i/>
      <sz val="10"/>
      <color rgb="FF59595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  <fill>
      <patternFill patternType="solid">
        <fgColor rgb="FF2F5597"/>
        <bgColor rgb="FF2F5597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1F497D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5" fillId="0" borderId="1" xfId="0" applyFont="1" applyBorder="1"/>
    <xf numFmtId="164" fontId="5" fillId="3" borderId="1" xfId="0" applyNumberFormat="1" applyFont="1" applyFill="1" applyBorder="1"/>
    <xf numFmtId="0" fontId="6" fillId="0" borderId="1" xfId="0" applyFont="1" applyBorder="1"/>
    <xf numFmtId="0" fontId="7" fillId="0" borderId="1" xfId="0" applyFont="1" applyBorder="1"/>
    <xf numFmtId="165" fontId="5" fillId="3" borderId="1" xfId="0" applyNumberFormat="1" applyFont="1" applyFill="1" applyBorder="1"/>
    <xf numFmtId="0" fontId="4" fillId="4" borderId="0" xfId="0" applyFont="1" applyFill="1" applyAlignment="1">
      <alignment horizontal="center" vertical="center"/>
    </xf>
    <xf numFmtId="3" fontId="5" fillId="0" borderId="1" xfId="0" applyNumberFormat="1" applyFont="1" applyBorder="1"/>
    <xf numFmtId="166" fontId="5" fillId="0" borderId="1" xfId="0" applyNumberFormat="1" applyFont="1" applyBorder="1"/>
    <xf numFmtId="3" fontId="6" fillId="0" borderId="1" xfId="0" applyNumberFormat="1" applyFont="1" applyBorder="1"/>
    <xf numFmtId="164" fontId="6" fillId="0" borderId="1" xfId="0" applyNumberFormat="1" applyFont="1" applyBorder="1"/>
    <xf numFmtId="167" fontId="6" fillId="0" borderId="1" xfId="0" applyNumberFormat="1" applyFont="1" applyBorder="1"/>
    <xf numFmtId="0" fontId="5" fillId="0" borderId="2" xfId="0" applyFont="1" applyBorder="1"/>
    <xf numFmtId="167" fontId="5" fillId="5" borderId="2" xfId="0" applyNumberFormat="1" applyFont="1" applyFill="1" applyBorder="1"/>
    <xf numFmtId="0" fontId="7" fillId="0" borderId="2" xfId="0" applyFont="1" applyBorder="1"/>
    <xf numFmtId="168" fontId="5" fillId="0" borderId="1" xfId="0" applyNumberFormat="1" applyFont="1" applyBorder="1"/>
    <xf numFmtId="0" fontId="4" fillId="2" borderId="0" xfId="0" applyFont="1" applyFill="1" applyAlignment="1">
      <alignment horizontal="center"/>
    </xf>
    <xf numFmtId="167" fontId="4" fillId="2" borderId="0" xfId="0" applyNumberFormat="1" applyFont="1" applyFill="1" applyAlignment="1">
      <alignment horizontal="center"/>
    </xf>
    <xf numFmtId="164" fontId="5" fillId="3" borderId="0" xfId="0" applyNumberFormat="1" applyFont="1" applyFill="1" applyAlignment="1">
      <alignment horizontal="center"/>
    </xf>
    <xf numFmtId="167" fontId="0" fillId="0" borderId="1" xfId="0" applyNumberFormat="1" applyBorder="1"/>
    <xf numFmtId="3" fontId="0" fillId="0" borderId="1" xfId="0" applyNumberFormat="1" applyBorder="1"/>
    <xf numFmtId="167" fontId="5" fillId="5" borderId="1" xfId="0" applyNumberFormat="1" applyFont="1" applyFill="1" applyBorder="1"/>
    <xf numFmtId="168" fontId="0" fillId="0" borderId="1" xfId="0" applyNumberFormat="1" applyBorder="1"/>
    <xf numFmtId="167" fontId="5" fillId="0" borderId="1" xfId="0" applyNumberFormat="1" applyFont="1" applyBorder="1"/>
    <xf numFmtId="10" fontId="0" fillId="0" borderId="1" xfId="0" applyNumberFormat="1" applyBorder="1"/>
    <xf numFmtId="169" fontId="0" fillId="0" borderId="1" xfId="0" applyNumberFormat="1" applyBorder="1"/>
    <xf numFmtId="0" fontId="5" fillId="5" borderId="1" xfId="0" applyFont="1" applyFill="1" applyBorder="1"/>
    <xf numFmtId="0" fontId="6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/>
  </sheetViews>
  <sheetFormatPr defaultRowHeight="14.4"/>
  <cols>
    <col min="1" max="1" width="52" customWidth="1"/>
    <col min="2" max="2" width="17" customWidth="1"/>
    <col min="3" max="3" width="21" customWidth="1"/>
    <col min="4" max="4" width="52" customWidth="1"/>
  </cols>
  <sheetData>
    <row r="1" spans="1:4" ht="21">
      <c r="A1" s="1" t="s">
        <v>0</v>
      </c>
    </row>
    <row r="2" spans="1:4">
      <c r="A2" s="2" t="s">
        <v>1</v>
      </c>
    </row>
    <row r="4" spans="1:4" ht="17.399999999999999">
      <c r="A4" s="3" t="s">
        <v>2</v>
      </c>
    </row>
    <row r="5" spans="1:4">
      <c r="A5" s="4" t="s">
        <v>3</v>
      </c>
      <c r="B5" s="4" t="s">
        <v>4</v>
      </c>
      <c r="C5" s="4" t="s">
        <v>5</v>
      </c>
      <c r="D5" s="4" t="s">
        <v>6</v>
      </c>
    </row>
    <row r="6" spans="1:4">
      <c r="A6" s="5" t="s">
        <v>7</v>
      </c>
      <c r="B6" s="6">
        <v>40</v>
      </c>
      <c r="C6" s="7" t="s">
        <v>8</v>
      </c>
      <c r="D6" s="8" t="s">
        <v>9</v>
      </c>
    </row>
    <row r="7" spans="1:4">
      <c r="A7" s="5" t="s">
        <v>10</v>
      </c>
      <c r="B7" s="6">
        <v>2</v>
      </c>
      <c r="C7" s="7" t="s">
        <v>11</v>
      </c>
      <c r="D7" s="8" t="s">
        <v>12</v>
      </c>
    </row>
    <row r="8" spans="1:4">
      <c r="A8" s="5" t="s">
        <v>13</v>
      </c>
      <c r="B8" s="9">
        <f>Inputs_Assumptions!B7/1000</f>
        <v>2E-3</v>
      </c>
      <c r="C8" s="7" t="s">
        <v>14</v>
      </c>
      <c r="D8" s="8" t="s">
        <v>15</v>
      </c>
    </row>
    <row r="10" spans="1:4" ht="17.399999999999999">
      <c r="A10" s="3" t="s">
        <v>16</v>
      </c>
    </row>
    <row r="11" spans="1:4">
      <c r="A11" s="10" t="s">
        <v>17</v>
      </c>
      <c r="B11" s="10" t="s">
        <v>18</v>
      </c>
      <c r="C11" s="10" t="s">
        <v>5</v>
      </c>
      <c r="D11" s="10" t="s">
        <v>19</v>
      </c>
    </row>
    <row r="12" spans="1:4">
      <c r="A12" s="7" t="s">
        <v>20</v>
      </c>
      <c r="B12" s="11">
        <v>564577</v>
      </c>
      <c r="C12" s="7" t="s">
        <v>21</v>
      </c>
      <c r="D12" s="8" t="s">
        <v>22</v>
      </c>
    </row>
    <row r="13" spans="1:4">
      <c r="A13" s="7" t="s">
        <v>23</v>
      </c>
      <c r="B13" s="11">
        <v>23524</v>
      </c>
      <c r="C13" s="7" t="s">
        <v>21</v>
      </c>
      <c r="D13" s="8" t="s">
        <v>22</v>
      </c>
    </row>
    <row r="14" spans="1:4">
      <c r="A14" s="7" t="s">
        <v>24</v>
      </c>
      <c r="B14" s="11">
        <v>14014692</v>
      </c>
      <c r="C14" s="7" t="s">
        <v>25</v>
      </c>
      <c r="D14" s="8" t="s">
        <v>26</v>
      </c>
    </row>
    <row r="15" spans="1:4">
      <c r="A15" s="7" t="s">
        <v>27</v>
      </c>
      <c r="B15" s="12">
        <v>1.7853999999999998E-2</v>
      </c>
      <c r="C15" s="7" t="s">
        <v>28</v>
      </c>
      <c r="D15" s="8" t="s">
        <v>29</v>
      </c>
    </row>
    <row r="16" spans="1:4">
      <c r="A16" s="7" t="s">
        <v>30</v>
      </c>
      <c r="B16" s="12">
        <v>2.5547E-2</v>
      </c>
      <c r="C16" s="7" t="s">
        <v>28</v>
      </c>
      <c r="D16" s="8" t="s">
        <v>31</v>
      </c>
    </row>
    <row r="17" spans="1:4">
      <c r="A17" s="7" t="s">
        <v>32</v>
      </c>
      <c r="B17" s="11">
        <f>ROUND(B12*B15, 0)</f>
        <v>10080</v>
      </c>
      <c r="C17" s="7" t="s">
        <v>33</v>
      </c>
      <c r="D17" s="8" t="s">
        <v>34</v>
      </c>
    </row>
    <row r="18" spans="1:4">
      <c r="A18" s="7" t="s">
        <v>35</v>
      </c>
      <c r="B18" s="11">
        <v>14423</v>
      </c>
      <c r="C18" s="7" t="s">
        <v>33</v>
      </c>
      <c r="D18" s="8" t="s">
        <v>36</v>
      </c>
    </row>
    <row r="19" spans="1:4">
      <c r="A19" s="7" t="s">
        <v>37</v>
      </c>
      <c r="B19" s="11">
        <f>B18-B17</f>
        <v>4343</v>
      </c>
      <c r="C19" s="7" t="s">
        <v>33</v>
      </c>
      <c r="D19" s="8" t="s">
        <v>38</v>
      </c>
    </row>
    <row r="20" spans="1:4">
      <c r="A20" s="7" t="s">
        <v>39</v>
      </c>
      <c r="B20" s="11">
        <v>3360</v>
      </c>
      <c r="C20" s="7" t="s">
        <v>33</v>
      </c>
      <c r="D20" s="8" t="s">
        <v>40</v>
      </c>
    </row>
    <row r="21" spans="1:4">
      <c r="A21" s="7" t="s">
        <v>41</v>
      </c>
      <c r="B21" s="11">
        <v>5326</v>
      </c>
      <c r="C21" s="7" t="s">
        <v>33</v>
      </c>
      <c r="D21" s="8" t="s">
        <v>42</v>
      </c>
    </row>
    <row r="24" spans="1:4" ht="17.399999999999999">
      <c r="A24" s="3" t="s">
        <v>43</v>
      </c>
    </row>
    <row r="25" spans="1:4">
      <c r="A25" s="7" t="s">
        <v>44</v>
      </c>
      <c r="B25" s="11">
        <v>22054</v>
      </c>
      <c r="C25" s="7" t="s">
        <v>21</v>
      </c>
      <c r="D25" s="8" t="s">
        <v>45</v>
      </c>
    </row>
    <row r="26" spans="1:4">
      <c r="A26" s="7" t="s">
        <v>46</v>
      </c>
      <c r="B26" s="11">
        <v>4058074</v>
      </c>
      <c r="C26" s="7" t="s">
        <v>25</v>
      </c>
      <c r="D26" s="8" t="s">
        <v>47</v>
      </c>
    </row>
    <row r="27" spans="1:4">
      <c r="A27" s="7" t="s">
        <v>48</v>
      </c>
      <c r="B27" s="11">
        <f>B25*100</f>
        <v>2205400</v>
      </c>
      <c r="C27" s="7" t="s">
        <v>25</v>
      </c>
      <c r="D27" s="8" t="s">
        <v>49</v>
      </c>
    </row>
    <row r="28" spans="1:4">
      <c r="A28" s="7" t="s">
        <v>50</v>
      </c>
      <c r="B28" s="11">
        <f>B26-B27</f>
        <v>1852674</v>
      </c>
      <c r="C28" s="7" t="s">
        <v>25</v>
      </c>
      <c r="D28" s="8" t="s">
        <v>51</v>
      </c>
    </row>
    <row r="29" spans="1:4">
      <c r="A29" s="7" t="s">
        <v>52</v>
      </c>
      <c r="B29" s="11">
        <f>B14-B28</f>
        <v>12162018</v>
      </c>
      <c r="C29" s="7" t="s">
        <v>25</v>
      </c>
      <c r="D29" s="8" t="s">
        <v>53</v>
      </c>
    </row>
    <row r="30" spans="1:4">
      <c r="A30" s="7" t="s">
        <v>54</v>
      </c>
      <c r="B30" s="11">
        <v>1159</v>
      </c>
      <c r="C30" s="7" t="s">
        <v>33</v>
      </c>
      <c r="D30" s="8" t="s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/>
  </sheetViews>
  <sheetFormatPr defaultRowHeight="14.4"/>
  <cols>
    <col min="1" max="1" width="52" customWidth="1"/>
    <col min="2" max="2" width="28" customWidth="1"/>
    <col min="3" max="3" width="29" customWidth="1"/>
    <col min="4" max="4" width="27" customWidth="1"/>
    <col min="5" max="5" width="52" customWidth="1"/>
  </cols>
  <sheetData>
    <row r="1" spans="1:5" ht="21">
      <c r="A1" s="1" t="s">
        <v>56</v>
      </c>
    </row>
    <row r="2" spans="1:5">
      <c r="A2" s="2" t="s">
        <v>57</v>
      </c>
    </row>
    <row r="4" spans="1:5" ht="17.399999999999999">
      <c r="A4" s="3" t="s">
        <v>58</v>
      </c>
    </row>
    <row r="5" spans="1:5">
      <c r="A5" s="4" t="s">
        <v>59</v>
      </c>
      <c r="B5" s="4" t="s">
        <v>60</v>
      </c>
      <c r="C5" s="4" t="s">
        <v>61</v>
      </c>
      <c r="D5" s="4" t="s">
        <v>62</v>
      </c>
      <c r="E5" s="4" t="s">
        <v>63</v>
      </c>
    </row>
    <row r="6" spans="1:5">
      <c r="A6" s="7" t="s">
        <v>64</v>
      </c>
      <c r="B6" s="13">
        <f>Inputs_Assumptions!B20</f>
        <v>3360</v>
      </c>
      <c r="C6" s="13">
        <f>Inputs_Assumptions!B19</f>
        <v>4343</v>
      </c>
      <c r="D6" s="13">
        <f>Inputs_Assumptions!B21</f>
        <v>5326</v>
      </c>
      <c r="E6" s="8" t="s">
        <v>65</v>
      </c>
    </row>
    <row r="7" spans="1:5">
      <c r="A7" s="7" t="s">
        <v>7</v>
      </c>
      <c r="B7" s="14">
        <f>Inputs_Assumptions!B6</f>
        <v>40</v>
      </c>
      <c r="C7" s="14">
        <f>Inputs_Assumptions!B6</f>
        <v>40</v>
      </c>
      <c r="D7" s="14">
        <f>Inputs_Assumptions!B6</f>
        <v>40</v>
      </c>
      <c r="E7" s="8" t="s">
        <v>66</v>
      </c>
    </row>
    <row r="8" spans="1:5">
      <c r="A8" s="7" t="s">
        <v>67</v>
      </c>
      <c r="B8" s="15">
        <f>B6*B7</f>
        <v>134400</v>
      </c>
      <c r="C8" s="15">
        <f>C6*C7</f>
        <v>173720</v>
      </c>
      <c r="D8" s="15">
        <f>D6*D7</f>
        <v>213040</v>
      </c>
      <c r="E8" s="8" t="s">
        <v>68</v>
      </c>
    </row>
    <row r="9" spans="1:5">
      <c r="A9" s="7" t="s">
        <v>69</v>
      </c>
      <c r="B9" s="13">
        <f>Inputs_Assumptions!B14</f>
        <v>14014692</v>
      </c>
      <c r="C9" s="13">
        <f>Inputs_Assumptions!B14</f>
        <v>14014692</v>
      </c>
      <c r="D9" s="13">
        <f>Inputs_Assumptions!B14</f>
        <v>14014692</v>
      </c>
      <c r="E9" s="8" t="s">
        <v>70</v>
      </c>
    </row>
    <row r="10" spans="1:5">
      <c r="A10" s="7" t="s">
        <v>71</v>
      </c>
      <c r="B10" s="14">
        <f>Inputs_Assumptions!B7</f>
        <v>2</v>
      </c>
      <c r="C10" s="14">
        <f>Inputs_Assumptions!B7</f>
        <v>2</v>
      </c>
      <c r="D10" s="14">
        <f>Inputs_Assumptions!B7</f>
        <v>2</v>
      </c>
      <c r="E10" s="8" t="s">
        <v>72</v>
      </c>
    </row>
    <row r="11" spans="1:5">
      <c r="A11" s="7" t="s">
        <v>73</v>
      </c>
      <c r="B11" s="15">
        <f>(B9/1000)*B10</f>
        <v>28029.383999999998</v>
      </c>
      <c r="C11" s="15">
        <f>(C9/1000)*C10</f>
        <v>28029.383999999998</v>
      </c>
      <c r="D11" s="15">
        <f>(D9/1000)*D10</f>
        <v>28029.383999999998</v>
      </c>
      <c r="E11" s="8" t="s">
        <v>74</v>
      </c>
    </row>
    <row r="12" spans="1:5">
      <c r="A12" s="16" t="s">
        <v>75</v>
      </c>
      <c r="B12" s="17">
        <f>B8-B11</f>
        <v>106370.61600000001</v>
      </c>
      <c r="C12" s="17">
        <f>C8-C11</f>
        <v>145690.61600000001</v>
      </c>
      <c r="D12" s="17">
        <f>D8-D11</f>
        <v>185010.61600000001</v>
      </c>
      <c r="E12" s="18" t="s">
        <v>76</v>
      </c>
    </row>
    <row r="13" spans="1:5">
      <c r="A13" s="5" t="s">
        <v>77</v>
      </c>
      <c r="B13" s="19">
        <f>B8/B11</f>
        <v>4.7949680235569936</v>
      </c>
      <c r="C13" s="19">
        <f>C8/C11</f>
        <v>6.1977815852107208</v>
      </c>
      <c r="D13" s="19">
        <f>D8/D11</f>
        <v>7.6005951468644479</v>
      </c>
      <c r="E13" s="8" t="s">
        <v>78</v>
      </c>
    </row>
    <row r="14" spans="1:5">
      <c r="A14" s="7" t="s">
        <v>79</v>
      </c>
      <c r="B14" s="14">
        <f>B11/B6</f>
        <v>8.342078571428571</v>
      </c>
      <c r="C14" s="14">
        <f>C11/C6</f>
        <v>6.4539221736127095</v>
      </c>
      <c r="D14" s="14">
        <f>D11/D6</f>
        <v>5.262745775441231</v>
      </c>
      <c r="E14" s="8" t="s">
        <v>80</v>
      </c>
    </row>
    <row r="17" spans="1:5" ht="17.399999999999999">
      <c r="A17" s="3" t="s">
        <v>81</v>
      </c>
    </row>
    <row r="18" spans="1:5">
      <c r="A18" s="10" t="s">
        <v>82</v>
      </c>
      <c r="B18" s="10" t="s">
        <v>60</v>
      </c>
      <c r="C18" s="10" t="s">
        <v>4</v>
      </c>
      <c r="D18" s="10" t="s">
        <v>62</v>
      </c>
      <c r="E18" s="10" t="s">
        <v>83</v>
      </c>
    </row>
    <row r="19" spans="1:5">
      <c r="A19" s="5" t="s">
        <v>84</v>
      </c>
      <c r="B19" s="6">
        <f>(B6*Inputs_Assumptions!B6)/(Inputs_Assumptions!B14/1000)</f>
        <v>9.5899360471139872</v>
      </c>
      <c r="C19" s="6">
        <f>(C6*Inputs_Assumptions!B6)/(Inputs_Assumptions!B14/1000)</f>
        <v>12.395563170421442</v>
      </c>
      <c r="D19" s="6">
        <f>(D6*Inputs_Assumptions!B6)/(Inputs_Assumptions!B14/1000)</f>
        <v>15.201190293728896</v>
      </c>
      <c r="E19" s="8" t="s">
        <v>85</v>
      </c>
    </row>
    <row r="20" spans="1:5">
      <c r="A20" s="5" t="s">
        <v>86</v>
      </c>
      <c r="B20" s="6">
        <f>B11/B6</f>
        <v>8.342078571428571</v>
      </c>
      <c r="C20" s="6">
        <f>C11/C6</f>
        <v>6.4539221736127095</v>
      </c>
      <c r="D20" s="6">
        <f>D11/D6</f>
        <v>5.262745775441231</v>
      </c>
      <c r="E20" s="8" t="s">
        <v>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"/>
  <sheetViews>
    <sheetView workbookViewId="0"/>
  </sheetViews>
  <sheetFormatPr defaultRowHeight="14.4"/>
  <cols>
    <col min="1" max="1" width="52" customWidth="1"/>
    <col min="2" max="12" width="17" customWidth="1"/>
  </cols>
  <sheetData>
    <row r="1" spans="1:12" ht="21">
      <c r="A1" s="1" t="s">
        <v>88</v>
      </c>
    </row>
    <row r="2" spans="1:12">
      <c r="A2" s="2" t="s">
        <v>89</v>
      </c>
    </row>
    <row r="4" spans="1:12">
      <c r="A4" s="20" t="s">
        <v>90</v>
      </c>
      <c r="B4" s="21">
        <v>5</v>
      </c>
      <c r="C4" s="21">
        <v>10</v>
      </c>
      <c r="D4" s="21">
        <v>15</v>
      </c>
      <c r="E4" s="21">
        <v>20</v>
      </c>
      <c r="F4" s="21">
        <v>25</v>
      </c>
      <c r="G4" s="21">
        <v>30</v>
      </c>
      <c r="H4" s="21">
        <v>40</v>
      </c>
      <c r="I4" s="21">
        <v>50</v>
      </c>
      <c r="J4" s="21">
        <v>60</v>
      </c>
      <c r="K4" s="21">
        <v>75</v>
      </c>
      <c r="L4" s="21">
        <v>100</v>
      </c>
    </row>
    <row r="5" spans="1:12">
      <c r="A5" s="22">
        <v>1</v>
      </c>
      <c r="B5" s="23">
        <f>(Inputs_Assumptions!$B$19*B$4)-((Inputs_Assumptions!$B$14/1000)*$A5)</f>
        <v>7700.3080000000009</v>
      </c>
      <c r="C5" s="23">
        <f>(Inputs_Assumptions!$B$19*C$4)-((Inputs_Assumptions!$B$14/1000)*$A5)</f>
        <v>29415.308000000001</v>
      </c>
      <c r="D5" s="23">
        <f>(Inputs_Assumptions!$B$19*D$4)-((Inputs_Assumptions!$B$14/1000)*$A5)</f>
        <v>51130.308000000005</v>
      </c>
      <c r="E5" s="23">
        <f>(Inputs_Assumptions!$B$19*E$4)-((Inputs_Assumptions!$B$14/1000)*$A5)</f>
        <v>72845.308000000005</v>
      </c>
      <c r="F5" s="23">
        <f>(Inputs_Assumptions!$B$19*F$4)-((Inputs_Assumptions!$B$14/1000)*$A5)</f>
        <v>94560.308000000005</v>
      </c>
      <c r="G5" s="23">
        <f>(Inputs_Assumptions!$B$19*G$4)-((Inputs_Assumptions!$B$14/1000)*$A5)</f>
        <v>116275.308</v>
      </c>
      <c r="H5" s="23">
        <f>(Inputs_Assumptions!$B$19*H$4)-((Inputs_Assumptions!$B$14/1000)*$A5)</f>
        <v>159705.30799999999</v>
      </c>
      <c r="I5" s="23">
        <f>(Inputs_Assumptions!$B$19*I$4)-((Inputs_Assumptions!$B$14/1000)*$A5)</f>
        <v>203135.30799999999</v>
      </c>
      <c r="J5" s="23">
        <f>(Inputs_Assumptions!$B$19*J$4)-((Inputs_Assumptions!$B$14/1000)*$A5)</f>
        <v>246565.30799999999</v>
      </c>
      <c r="K5" s="23">
        <f>(Inputs_Assumptions!$B$19*K$4)-((Inputs_Assumptions!$B$14/1000)*$A5)</f>
        <v>311710.30800000002</v>
      </c>
      <c r="L5" s="23">
        <f>(Inputs_Assumptions!$B$19*L$4)-((Inputs_Assumptions!$B$14/1000)*$A5)</f>
        <v>420285.30800000002</v>
      </c>
    </row>
    <row r="6" spans="1:12">
      <c r="A6" s="22">
        <v>1.5</v>
      </c>
      <c r="B6" s="23">
        <f>(Inputs_Assumptions!$B$19*B$4)-((Inputs_Assumptions!$B$14/1000)*$A6)</f>
        <v>692.96199999999953</v>
      </c>
      <c r="C6" s="23">
        <f>(Inputs_Assumptions!$B$19*C$4)-((Inputs_Assumptions!$B$14/1000)*$A6)</f>
        <v>22407.962</v>
      </c>
      <c r="D6" s="23">
        <f>(Inputs_Assumptions!$B$19*D$4)-((Inputs_Assumptions!$B$14/1000)*$A6)</f>
        <v>44122.962</v>
      </c>
      <c r="E6" s="23">
        <f>(Inputs_Assumptions!$B$19*E$4)-((Inputs_Assumptions!$B$14/1000)*$A6)</f>
        <v>65837.962</v>
      </c>
      <c r="F6" s="23">
        <f>(Inputs_Assumptions!$B$19*F$4)-((Inputs_Assumptions!$B$14/1000)*$A6)</f>
        <v>87552.962</v>
      </c>
      <c r="G6" s="23">
        <f>(Inputs_Assumptions!$B$19*G$4)-((Inputs_Assumptions!$B$14/1000)*$A6)</f>
        <v>109267.962</v>
      </c>
      <c r="H6" s="23">
        <f>(Inputs_Assumptions!$B$19*H$4)-((Inputs_Assumptions!$B$14/1000)*$A6)</f>
        <v>152697.962</v>
      </c>
      <c r="I6" s="23">
        <f>(Inputs_Assumptions!$B$19*I$4)-((Inputs_Assumptions!$B$14/1000)*$A6)</f>
        <v>196127.962</v>
      </c>
      <c r="J6" s="23">
        <f>(Inputs_Assumptions!$B$19*J$4)-((Inputs_Assumptions!$B$14/1000)*$A6)</f>
        <v>239557.962</v>
      </c>
      <c r="K6" s="23">
        <f>(Inputs_Assumptions!$B$19*K$4)-((Inputs_Assumptions!$B$14/1000)*$A6)</f>
        <v>304702.962</v>
      </c>
      <c r="L6" s="23">
        <f>(Inputs_Assumptions!$B$19*L$4)-((Inputs_Assumptions!$B$14/1000)*$A6)</f>
        <v>413277.962</v>
      </c>
    </row>
    <row r="7" spans="1:12">
      <c r="A7" s="22">
        <v>2</v>
      </c>
      <c r="B7" s="23">
        <f>(Inputs_Assumptions!$B$19*B$4)-((Inputs_Assumptions!$B$14/1000)*$A7)</f>
        <v>-6314.3839999999982</v>
      </c>
      <c r="C7" s="23">
        <f>(Inputs_Assumptions!$B$19*C$4)-((Inputs_Assumptions!$B$14/1000)*$A7)</f>
        <v>15400.616000000002</v>
      </c>
      <c r="D7" s="23">
        <f>(Inputs_Assumptions!$B$19*D$4)-((Inputs_Assumptions!$B$14/1000)*$A7)</f>
        <v>37115.616000000002</v>
      </c>
      <c r="E7" s="23">
        <f>(Inputs_Assumptions!$B$19*E$4)-((Inputs_Assumptions!$B$14/1000)*$A7)</f>
        <v>58830.616000000002</v>
      </c>
      <c r="F7" s="23">
        <f>(Inputs_Assumptions!$B$19*F$4)-((Inputs_Assumptions!$B$14/1000)*$A7)</f>
        <v>80545.616000000009</v>
      </c>
      <c r="G7" s="23">
        <f>(Inputs_Assumptions!$B$19*G$4)-((Inputs_Assumptions!$B$14/1000)*$A7)</f>
        <v>102260.61600000001</v>
      </c>
      <c r="H7" s="23">
        <f>(Inputs_Assumptions!$B$19*H$4)-((Inputs_Assumptions!$B$14/1000)*$A7)</f>
        <v>145690.61600000001</v>
      </c>
      <c r="I7" s="23">
        <f>(Inputs_Assumptions!$B$19*I$4)-((Inputs_Assumptions!$B$14/1000)*$A7)</f>
        <v>189120.61600000001</v>
      </c>
      <c r="J7" s="23">
        <f>(Inputs_Assumptions!$B$19*J$4)-((Inputs_Assumptions!$B$14/1000)*$A7)</f>
        <v>232550.61600000001</v>
      </c>
      <c r="K7" s="23">
        <f>(Inputs_Assumptions!$B$19*K$4)-((Inputs_Assumptions!$B$14/1000)*$A7)</f>
        <v>297695.61599999998</v>
      </c>
      <c r="L7" s="23">
        <f>(Inputs_Assumptions!$B$19*L$4)-((Inputs_Assumptions!$B$14/1000)*$A7)</f>
        <v>406270.61599999998</v>
      </c>
    </row>
    <row r="8" spans="1:12">
      <c r="A8" s="22">
        <v>2.5</v>
      </c>
      <c r="B8" s="23">
        <f>(Inputs_Assumptions!$B$19*B$4)-((Inputs_Assumptions!$B$14/1000)*$A8)</f>
        <v>-13321.729999999996</v>
      </c>
      <c r="C8" s="23">
        <f>(Inputs_Assumptions!$B$19*C$4)-((Inputs_Assumptions!$B$14/1000)*$A8)</f>
        <v>8393.2700000000041</v>
      </c>
      <c r="D8" s="23">
        <f>(Inputs_Assumptions!$B$19*D$4)-((Inputs_Assumptions!$B$14/1000)*$A8)</f>
        <v>30108.270000000004</v>
      </c>
      <c r="E8" s="23">
        <f>(Inputs_Assumptions!$B$19*E$4)-((Inputs_Assumptions!$B$14/1000)*$A8)</f>
        <v>51823.270000000004</v>
      </c>
      <c r="F8" s="23">
        <f>(Inputs_Assumptions!$B$19*F$4)-((Inputs_Assumptions!$B$14/1000)*$A8)</f>
        <v>73538.27</v>
      </c>
      <c r="G8" s="23">
        <f>(Inputs_Assumptions!$B$19*G$4)-((Inputs_Assumptions!$B$14/1000)*$A8)</f>
        <v>95253.27</v>
      </c>
      <c r="H8" s="23">
        <f>(Inputs_Assumptions!$B$19*H$4)-((Inputs_Assumptions!$B$14/1000)*$A8)</f>
        <v>138683.27000000002</v>
      </c>
      <c r="I8" s="23">
        <f>(Inputs_Assumptions!$B$19*I$4)-((Inputs_Assumptions!$B$14/1000)*$A8)</f>
        <v>182113.27000000002</v>
      </c>
      <c r="J8" s="23">
        <f>(Inputs_Assumptions!$B$19*J$4)-((Inputs_Assumptions!$B$14/1000)*$A8)</f>
        <v>225543.27000000002</v>
      </c>
      <c r="K8" s="23">
        <f>(Inputs_Assumptions!$B$19*K$4)-((Inputs_Assumptions!$B$14/1000)*$A8)</f>
        <v>290688.27</v>
      </c>
      <c r="L8" s="23">
        <f>(Inputs_Assumptions!$B$19*L$4)-((Inputs_Assumptions!$B$14/1000)*$A8)</f>
        <v>399263.27</v>
      </c>
    </row>
    <row r="9" spans="1:12">
      <c r="A9" s="22">
        <v>3</v>
      </c>
      <c r="B9" s="23">
        <f>(Inputs_Assumptions!$B$19*B$4)-((Inputs_Assumptions!$B$14/1000)*$A9)</f>
        <v>-20329.076000000001</v>
      </c>
      <c r="C9" s="23">
        <f>(Inputs_Assumptions!$B$19*C$4)-((Inputs_Assumptions!$B$14/1000)*$A9)</f>
        <v>1385.9239999999991</v>
      </c>
      <c r="D9" s="23">
        <f>(Inputs_Assumptions!$B$19*D$4)-((Inputs_Assumptions!$B$14/1000)*$A9)</f>
        <v>23100.923999999999</v>
      </c>
      <c r="E9" s="23">
        <f>(Inputs_Assumptions!$B$19*E$4)-((Inputs_Assumptions!$B$14/1000)*$A9)</f>
        <v>44815.923999999999</v>
      </c>
      <c r="F9" s="23">
        <f>(Inputs_Assumptions!$B$19*F$4)-((Inputs_Assumptions!$B$14/1000)*$A9)</f>
        <v>66530.923999999999</v>
      </c>
      <c r="G9" s="23">
        <f>(Inputs_Assumptions!$B$19*G$4)-((Inputs_Assumptions!$B$14/1000)*$A9)</f>
        <v>88245.923999999999</v>
      </c>
      <c r="H9" s="23">
        <f>(Inputs_Assumptions!$B$19*H$4)-((Inputs_Assumptions!$B$14/1000)*$A9)</f>
        <v>131675.924</v>
      </c>
      <c r="I9" s="23">
        <f>(Inputs_Assumptions!$B$19*I$4)-((Inputs_Assumptions!$B$14/1000)*$A9)</f>
        <v>175105.924</v>
      </c>
      <c r="J9" s="23">
        <f>(Inputs_Assumptions!$B$19*J$4)-((Inputs_Assumptions!$B$14/1000)*$A9)</f>
        <v>218535.924</v>
      </c>
      <c r="K9" s="23">
        <f>(Inputs_Assumptions!$B$19*K$4)-((Inputs_Assumptions!$B$14/1000)*$A9)</f>
        <v>283680.924</v>
      </c>
      <c r="L9" s="23">
        <f>(Inputs_Assumptions!$B$19*L$4)-((Inputs_Assumptions!$B$14/1000)*$A9)</f>
        <v>392255.924</v>
      </c>
    </row>
    <row r="10" spans="1:12">
      <c r="A10" s="22">
        <v>4</v>
      </c>
      <c r="B10" s="23">
        <f>(Inputs_Assumptions!$B$19*B$4)-((Inputs_Assumptions!$B$14/1000)*$A10)</f>
        <v>-34343.767999999996</v>
      </c>
      <c r="C10" s="23">
        <f>(Inputs_Assumptions!$B$19*C$4)-((Inputs_Assumptions!$B$14/1000)*$A10)</f>
        <v>-12628.767999999996</v>
      </c>
      <c r="D10" s="23">
        <f>(Inputs_Assumptions!$B$19*D$4)-((Inputs_Assumptions!$B$14/1000)*$A10)</f>
        <v>9086.2320000000036</v>
      </c>
      <c r="E10" s="23">
        <f>(Inputs_Assumptions!$B$19*E$4)-((Inputs_Assumptions!$B$14/1000)*$A10)</f>
        <v>30801.232000000004</v>
      </c>
      <c r="F10" s="23">
        <f>(Inputs_Assumptions!$B$19*F$4)-((Inputs_Assumptions!$B$14/1000)*$A10)</f>
        <v>52516.232000000004</v>
      </c>
      <c r="G10" s="23">
        <f>(Inputs_Assumptions!$B$19*G$4)-((Inputs_Assumptions!$B$14/1000)*$A10)</f>
        <v>74231.232000000004</v>
      </c>
      <c r="H10" s="23">
        <f>(Inputs_Assumptions!$B$19*H$4)-((Inputs_Assumptions!$B$14/1000)*$A10)</f>
        <v>117661.232</v>
      </c>
      <c r="I10" s="23">
        <f>(Inputs_Assumptions!$B$19*I$4)-((Inputs_Assumptions!$B$14/1000)*$A10)</f>
        <v>161091.23200000002</v>
      </c>
      <c r="J10" s="23">
        <f>(Inputs_Assumptions!$B$19*J$4)-((Inputs_Assumptions!$B$14/1000)*$A10)</f>
        <v>204521.23200000002</v>
      </c>
      <c r="K10" s="23">
        <f>(Inputs_Assumptions!$B$19*K$4)-((Inputs_Assumptions!$B$14/1000)*$A10)</f>
        <v>269666.23200000002</v>
      </c>
      <c r="L10" s="23">
        <f>(Inputs_Assumptions!$B$19*L$4)-((Inputs_Assumptions!$B$14/1000)*$A10)</f>
        <v>378241.23200000002</v>
      </c>
    </row>
    <row r="11" spans="1:12">
      <c r="A11" s="22">
        <v>5</v>
      </c>
      <c r="B11" s="23">
        <f>(Inputs_Assumptions!$B$19*B$4)-((Inputs_Assumptions!$B$14/1000)*$A11)</f>
        <v>-48358.459999999992</v>
      </c>
      <c r="C11" s="23">
        <f>(Inputs_Assumptions!$B$19*C$4)-((Inputs_Assumptions!$B$14/1000)*$A11)</f>
        <v>-26643.459999999992</v>
      </c>
      <c r="D11" s="23">
        <f>(Inputs_Assumptions!$B$19*D$4)-((Inputs_Assumptions!$B$14/1000)*$A11)</f>
        <v>-4928.4599999999919</v>
      </c>
      <c r="E11" s="23">
        <f>(Inputs_Assumptions!$B$19*E$4)-((Inputs_Assumptions!$B$14/1000)*$A11)</f>
        <v>16786.540000000008</v>
      </c>
      <c r="F11" s="23">
        <f>(Inputs_Assumptions!$B$19*F$4)-((Inputs_Assumptions!$B$14/1000)*$A11)</f>
        <v>38501.540000000008</v>
      </c>
      <c r="G11" s="23">
        <f>(Inputs_Assumptions!$B$19*G$4)-((Inputs_Assumptions!$B$14/1000)*$A11)</f>
        <v>60216.540000000008</v>
      </c>
      <c r="H11" s="23">
        <f>(Inputs_Assumptions!$B$19*H$4)-((Inputs_Assumptions!$B$14/1000)*$A11)</f>
        <v>103646.54000000001</v>
      </c>
      <c r="I11" s="23">
        <f>(Inputs_Assumptions!$B$19*I$4)-((Inputs_Assumptions!$B$14/1000)*$A11)</f>
        <v>147076.54</v>
      </c>
      <c r="J11" s="23">
        <f>(Inputs_Assumptions!$B$19*J$4)-((Inputs_Assumptions!$B$14/1000)*$A11)</f>
        <v>190506.54</v>
      </c>
      <c r="K11" s="23">
        <f>(Inputs_Assumptions!$B$19*K$4)-((Inputs_Assumptions!$B$14/1000)*$A11)</f>
        <v>255651.54</v>
      </c>
      <c r="L11" s="23">
        <f>(Inputs_Assumptions!$B$19*L$4)-((Inputs_Assumptions!$B$14/1000)*$A11)</f>
        <v>364226.54000000004</v>
      </c>
    </row>
    <row r="12" spans="1:12">
      <c r="A12" s="22">
        <v>6</v>
      </c>
      <c r="B12" s="23">
        <f>(Inputs_Assumptions!$B$19*B$4)-((Inputs_Assumptions!$B$14/1000)*$A12)</f>
        <v>-62373.152000000002</v>
      </c>
      <c r="C12" s="23">
        <f>(Inputs_Assumptions!$B$19*C$4)-((Inputs_Assumptions!$B$14/1000)*$A12)</f>
        <v>-40658.152000000002</v>
      </c>
      <c r="D12" s="23">
        <f>(Inputs_Assumptions!$B$19*D$4)-((Inputs_Assumptions!$B$14/1000)*$A12)</f>
        <v>-18943.152000000002</v>
      </c>
      <c r="E12" s="23">
        <f>(Inputs_Assumptions!$B$19*E$4)-((Inputs_Assumptions!$B$14/1000)*$A12)</f>
        <v>2771.8479999999981</v>
      </c>
      <c r="F12" s="23">
        <f>(Inputs_Assumptions!$B$19*F$4)-((Inputs_Assumptions!$B$14/1000)*$A12)</f>
        <v>24486.847999999998</v>
      </c>
      <c r="G12" s="23">
        <f>(Inputs_Assumptions!$B$19*G$4)-((Inputs_Assumptions!$B$14/1000)*$A12)</f>
        <v>46201.847999999998</v>
      </c>
      <c r="H12" s="23">
        <f>(Inputs_Assumptions!$B$19*H$4)-((Inputs_Assumptions!$B$14/1000)*$A12)</f>
        <v>89631.847999999998</v>
      </c>
      <c r="I12" s="23">
        <f>(Inputs_Assumptions!$B$19*I$4)-((Inputs_Assumptions!$B$14/1000)*$A12)</f>
        <v>133061.848</v>
      </c>
      <c r="J12" s="23">
        <f>(Inputs_Assumptions!$B$19*J$4)-((Inputs_Assumptions!$B$14/1000)*$A12)</f>
        <v>176491.848</v>
      </c>
      <c r="K12" s="23">
        <f>(Inputs_Assumptions!$B$19*K$4)-((Inputs_Assumptions!$B$14/1000)*$A12)</f>
        <v>241636.848</v>
      </c>
      <c r="L12" s="23">
        <f>(Inputs_Assumptions!$B$19*L$4)-((Inputs_Assumptions!$B$14/1000)*$A12)</f>
        <v>350211.848</v>
      </c>
    </row>
    <row r="13" spans="1:12">
      <c r="A13" s="22">
        <v>8</v>
      </c>
      <c r="B13" s="23">
        <f>(Inputs_Assumptions!$B$19*B$4)-((Inputs_Assumptions!$B$14/1000)*$A13)</f>
        <v>-90402.535999999993</v>
      </c>
      <c r="C13" s="23">
        <f>(Inputs_Assumptions!$B$19*C$4)-((Inputs_Assumptions!$B$14/1000)*$A13)</f>
        <v>-68687.535999999993</v>
      </c>
      <c r="D13" s="23">
        <f>(Inputs_Assumptions!$B$19*D$4)-((Inputs_Assumptions!$B$14/1000)*$A13)</f>
        <v>-46972.535999999993</v>
      </c>
      <c r="E13" s="23">
        <f>(Inputs_Assumptions!$B$19*E$4)-((Inputs_Assumptions!$B$14/1000)*$A13)</f>
        <v>-25257.535999999993</v>
      </c>
      <c r="F13" s="23">
        <f>(Inputs_Assumptions!$B$19*F$4)-((Inputs_Assumptions!$B$14/1000)*$A13)</f>
        <v>-3542.5359999999928</v>
      </c>
      <c r="G13" s="23">
        <f>(Inputs_Assumptions!$B$19*G$4)-((Inputs_Assumptions!$B$14/1000)*$A13)</f>
        <v>18172.464000000007</v>
      </c>
      <c r="H13" s="23">
        <f>(Inputs_Assumptions!$B$19*H$4)-((Inputs_Assumptions!$B$14/1000)*$A13)</f>
        <v>61602.464000000007</v>
      </c>
      <c r="I13" s="23">
        <f>(Inputs_Assumptions!$B$19*I$4)-((Inputs_Assumptions!$B$14/1000)*$A13)</f>
        <v>105032.46400000001</v>
      </c>
      <c r="J13" s="23">
        <f>(Inputs_Assumptions!$B$19*J$4)-((Inputs_Assumptions!$B$14/1000)*$A13)</f>
        <v>148462.46400000001</v>
      </c>
      <c r="K13" s="23">
        <f>(Inputs_Assumptions!$B$19*K$4)-((Inputs_Assumptions!$B$14/1000)*$A13)</f>
        <v>213607.46400000001</v>
      </c>
      <c r="L13" s="23">
        <f>(Inputs_Assumptions!$B$19*L$4)-((Inputs_Assumptions!$B$14/1000)*$A13)</f>
        <v>322182.46400000004</v>
      </c>
    </row>
    <row r="14" spans="1:12">
      <c r="A14" s="22">
        <v>10</v>
      </c>
      <c r="B14" s="23">
        <f>(Inputs_Assumptions!$B$19*B$4)-((Inputs_Assumptions!$B$14/1000)*$A14)</f>
        <v>-118431.91999999998</v>
      </c>
      <c r="C14" s="23">
        <f>(Inputs_Assumptions!$B$19*C$4)-((Inputs_Assumptions!$B$14/1000)*$A14)</f>
        <v>-96716.919999999984</v>
      </c>
      <c r="D14" s="23">
        <f>(Inputs_Assumptions!$B$19*D$4)-((Inputs_Assumptions!$B$14/1000)*$A14)</f>
        <v>-75001.919999999984</v>
      </c>
      <c r="E14" s="23">
        <f>(Inputs_Assumptions!$B$19*E$4)-((Inputs_Assumptions!$B$14/1000)*$A14)</f>
        <v>-53286.919999999984</v>
      </c>
      <c r="F14" s="23">
        <f>(Inputs_Assumptions!$B$19*F$4)-((Inputs_Assumptions!$B$14/1000)*$A14)</f>
        <v>-31571.919999999984</v>
      </c>
      <c r="G14" s="23">
        <f>(Inputs_Assumptions!$B$19*G$4)-((Inputs_Assumptions!$B$14/1000)*$A14)</f>
        <v>-9856.9199999999837</v>
      </c>
      <c r="H14" s="23">
        <f>(Inputs_Assumptions!$B$19*H$4)-((Inputs_Assumptions!$B$14/1000)*$A14)</f>
        <v>33573.080000000016</v>
      </c>
      <c r="I14" s="23">
        <f>(Inputs_Assumptions!$B$19*I$4)-((Inputs_Assumptions!$B$14/1000)*$A14)</f>
        <v>77003.080000000016</v>
      </c>
      <c r="J14" s="23">
        <f>(Inputs_Assumptions!$B$19*J$4)-((Inputs_Assumptions!$B$14/1000)*$A14)</f>
        <v>120433.08000000002</v>
      </c>
      <c r="K14" s="23">
        <f>(Inputs_Assumptions!$B$19*K$4)-((Inputs_Assumptions!$B$14/1000)*$A14)</f>
        <v>185578.08000000002</v>
      </c>
      <c r="L14" s="23">
        <f>(Inputs_Assumptions!$B$19*L$4)-((Inputs_Assumptions!$B$14/1000)*$A14)</f>
        <v>294153.08</v>
      </c>
    </row>
    <row r="15" spans="1:12">
      <c r="A15" s="22">
        <v>12</v>
      </c>
      <c r="B15" s="23">
        <f>(Inputs_Assumptions!$B$19*B$4)-((Inputs_Assumptions!$B$14/1000)*$A15)</f>
        <v>-146461.304</v>
      </c>
      <c r="C15" s="23">
        <f>(Inputs_Assumptions!$B$19*C$4)-((Inputs_Assumptions!$B$14/1000)*$A15)</f>
        <v>-124746.304</v>
      </c>
      <c r="D15" s="23">
        <f>(Inputs_Assumptions!$B$19*D$4)-((Inputs_Assumptions!$B$14/1000)*$A15)</f>
        <v>-103031.304</v>
      </c>
      <c r="E15" s="23">
        <f>(Inputs_Assumptions!$B$19*E$4)-((Inputs_Assumptions!$B$14/1000)*$A15)</f>
        <v>-81316.304000000004</v>
      </c>
      <c r="F15" s="23">
        <f>(Inputs_Assumptions!$B$19*F$4)-((Inputs_Assumptions!$B$14/1000)*$A15)</f>
        <v>-59601.304000000004</v>
      </c>
      <c r="G15" s="23">
        <f>(Inputs_Assumptions!$B$19*G$4)-((Inputs_Assumptions!$B$14/1000)*$A15)</f>
        <v>-37886.304000000004</v>
      </c>
      <c r="H15" s="23">
        <f>(Inputs_Assumptions!$B$19*H$4)-((Inputs_Assumptions!$B$14/1000)*$A15)</f>
        <v>5543.6959999999963</v>
      </c>
      <c r="I15" s="23">
        <f>(Inputs_Assumptions!$B$19*I$4)-((Inputs_Assumptions!$B$14/1000)*$A15)</f>
        <v>48973.695999999996</v>
      </c>
      <c r="J15" s="23">
        <f>(Inputs_Assumptions!$B$19*J$4)-((Inputs_Assumptions!$B$14/1000)*$A15)</f>
        <v>92403.695999999996</v>
      </c>
      <c r="K15" s="23">
        <f>(Inputs_Assumptions!$B$19*K$4)-((Inputs_Assumptions!$B$14/1000)*$A15)</f>
        <v>157548.696</v>
      </c>
      <c r="L15" s="23">
        <f>(Inputs_Assumptions!$B$19*L$4)-((Inputs_Assumptions!$B$14/1000)*$A15)</f>
        <v>266123.696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workbookViewId="0"/>
  </sheetViews>
  <sheetFormatPr defaultRowHeight="14.4"/>
  <cols>
    <col min="1" max="1" width="52" customWidth="1"/>
    <col min="2" max="2" width="20" customWidth="1"/>
    <col min="3" max="3" width="25" customWidth="1"/>
    <col min="4" max="4" width="26" customWidth="1"/>
    <col min="5" max="5" width="42" customWidth="1"/>
    <col min="6" max="6" width="25" customWidth="1"/>
    <col min="7" max="7" width="20" customWidth="1"/>
    <col min="8" max="8" width="28" customWidth="1"/>
    <col min="9" max="9" width="52" customWidth="1"/>
  </cols>
  <sheetData>
    <row r="1" spans="1:9" ht="21">
      <c r="A1" s="1" t="s">
        <v>91</v>
      </c>
    </row>
    <row r="2" spans="1:9">
      <c r="A2" s="2" t="s">
        <v>92</v>
      </c>
    </row>
    <row r="5" spans="1:9">
      <c r="A5" s="4" t="s">
        <v>93</v>
      </c>
      <c r="B5" s="4" t="s">
        <v>94</v>
      </c>
      <c r="C5" s="4" t="s">
        <v>95</v>
      </c>
      <c r="D5" s="4" t="s">
        <v>64</v>
      </c>
      <c r="E5" s="4" t="s">
        <v>96</v>
      </c>
      <c r="F5" s="4" t="s">
        <v>75</v>
      </c>
      <c r="G5" s="4" t="s">
        <v>97</v>
      </c>
      <c r="H5" s="4" t="s">
        <v>98</v>
      </c>
      <c r="I5" s="4" t="s">
        <v>99</v>
      </c>
    </row>
    <row r="6" spans="1:9">
      <c r="A6" s="5" t="s">
        <v>100</v>
      </c>
      <c r="B6" s="24">
        <f>Inputs_Assumptions!B14</f>
        <v>14014692</v>
      </c>
      <c r="C6" s="23">
        <f>(B6/1000)*Inputs_Assumptions!B7</f>
        <v>28029.383999999998</v>
      </c>
      <c r="D6" s="24">
        <f>Inputs_Assumptions!B19</f>
        <v>4343</v>
      </c>
      <c r="E6" s="23">
        <f>D6*Inputs_Assumptions!B6</f>
        <v>173720</v>
      </c>
      <c r="F6" s="25">
        <f>E6-C6</f>
        <v>145690.61600000001</v>
      </c>
      <c r="G6" s="26">
        <f>E6/C6</f>
        <v>6.1977815852107208</v>
      </c>
      <c r="H6" s="27">
        <v>0</v>
      </c>
      <c r="I6" s="8" t="s">
        <v>101</v>
      </c>
    </row>
    <row r="7" spans="1:9">
      <c r="A7" s="5" t="s">
        <v>102</v>
      </c>
      <c r="B7" s="24">
        <f>Inputs_Assumptions!B29</f>
        <v>12162018</v>
      </c>
      <c r="C7" s="23">
        <f>(B7/1000)*Inputs_Assumptions!B7</f>
        <v>24324.036</v>
      </c>
      <c r="D7" s="24">
        <f>Inputs_Assumptions!B19</f>
        <v>4343</v>
      </c>
      <c r="E7" s="23">
        <f>D7*Inputs_Assumptions!B6</f>
        <v>173720</v>
      </c>
      <c r="F7" s="25">
        <f>E7-C7</f>
        <v>149395.96400000001</v>
      </c>
      <c r="G7" s="26">
        <f>E7/C7</f>
        <v>7.141906877625078</v>
      </c>
      <c r="H7" s="27">
        <f>C6-C7</f>
        <v>3705.3479999999981</v>
      </c>
      <c r="I7" s="8" t="s">
        <v>103</v>
      </c>
    </row>
    <row r="8" spans="1:9">
      <c r="A8" s="5" t="s">
        <v>104</v>
      </c>
      <c r="B8" s="24">
        <f>Inputs_Assumptions!B29</f>
        <v>12162018</v>
      </c>
      <c r="C8" s="23">
        <f>(B8/1000)*Inputs_Assumptions!B7</f>
        <v>24324.036</v>
      </c>
      <c r="D8" s="24">
        <f>Inputs_Assumptions!B19-(Inputs_Assumptions!B30*0.25)</f>
        <v>4053.25</v>
      </c>
      <c r="E8" s="23">
        <f>D8*Inputs_Assumptions!B6</f>
        <v>162130</v>
      </c>
      <c r="F8" s="25">
        <f>E8-C8</f>
        <v>137805.96400000001</v>
      </c>
      <c r="G8" s="26">
        <f>E8/C8</f>
        <v>6.6654234519304278</v>
      </c>
      <c r="H8" s="27">
        <f>C6-C8</f>
        <v>3705.3479999999981</v>
      </c>
      <c r="I8" s="8" t="s">
        <v>105</v>
      </c>
    </row>
    <row r="9" spans="1:9">
      <c r="A9" s="5" t="s">
        <v>106</v>
      </c>
      <c r="B9" s="24">
        <f>Inputs_Assumptions!B29</f>
        <v>12162018</v>
      </c>
      <c r="C9" s="23">
        <f>(B9/1000)*Inputs_Assumptions!B7</f>
        <v>24324.036</v>
      </c>
      <c r="D9" s="24">
        <f>Inputs_Assumptions!B19-(Inputs_Assumptions!B30*0.5)</f>
        <v>3763.5</v>
      </c>
      <c r="E9" s="23">
        <f>D9*Inputs_Assumptions!B6</f>
        <v>150540</v>
      </c>
      <c r="F9" s="25">
        <f>E9-C9</f>
        <v>126215.96400000001</v>
      </c>
      <c r="G9" s="26">
        <f>E9/C9</f>
        <v>6.1889400262357777</v>
      </c>
      <c r="H9" s="27">
        <f>C6-C9</f>
        <v>3705.3479999999981</v>
      </c>
      <c r="I9" s="8" t="s">
        <v>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"/>
  <sheetViews>
    <sheetView workbookViewId="0"/>
  </sheetViews>
  <sheetFormatPr defaultRowHeight="14.4"/>
  <cols>
    <col min="1" max="1" width="52" customWidth="1"/>
    <col min="2" max="2" width="18" customWidth="1"/>
    <col min="3" max="3" width="24" customWidth="1"/>
    <col min="4" max="4" width="13" customWidth="1"/>
    <col min="5" max="5" width="24" customWidth="1"/>
    <col min="6" max="6" width="28" customWidth="1"/>
    <col min="7" max="7" width="33" customWidth="1"/>
    <col min="8" max="8" width="52" customWidth="1"/>
  </cols>
  <sheetData>
    <row r="1" spans="1:8" ht="21">
      <c r="A1" s="1" t="s">
        <v>108</v>
      </c>
    </row>
    <row r="2" spans="1:8">
      <c r="A2" s="2" t="s">
        <v>109</v>
      </c>
    </row>
    <row r="5" spans="1:8">
      <c r="A5" s="4" t="s">
        <v>110</v>
      </c>
      <c r="B5" s="4" t="s">
        <v>111</v>
      </c>
      <c r="C5" s="4" t="s">
        <v>112</v>
      </c>
      <c r="D5" s="4" t="s">
        <v>113</v>
      </c>
      <c r="E5" s="4" t="s">
        <v>114</v>
      </c>
      <c r="F5" s="4" t="s">
        <v>115</v>
      </c>
      <c r="G5" s="4" t="s">
        <v>116</v>
      </c>
      <c r="H5" s="4" t="s">
        <v>117</v>
      </c>
    </row>
    <row r="6" spans="1:8">
      <c r="A6" s="5" t="s">
        <v>118</v>
      </c>
      <c r="B6" s="24">
        <v>83571</v>
      </c>
      <c r="C6" s="28">
        <v>3.3241E-2</v>
      </c>
      <c r="D6" s="28">
        <v>2.2558999999999999E-2</v>
      </c>
      <c r="E6" s="29">
        <v>1.0682000000000001E-2</v>
      </c>
      <c r="F6" s="30" t="s">
        <v>119</v>
      </c>
      <c r="G6" s="23">
        <f>(B6*24.8/1000)*Inputs_Assumptions!$B$7</f>
        <v>4145.1216000000004</v>
      </c>
      <c r="H6" s="8" t="s">
        <v>120</v>
      </c>
    </row>
    <row r="7" spans="1:8">
      <c r="A7" s="5" t="s">
        <v>121</v>
      </c>
      <c r="B7" s="24">
        <v>74572</v>
      </c>
      <c r="C7" s="28">
        <v>3.0439999999999998E-2</v>
      </c>
      <c r="D7" s="28">
        <v>1.4448000000000001E-2</v>
      </c>
      <c r="E7" s="29">
        <v>1.5991999999999999E-2</v>
      </c>
      <c r="F7" s="30" t="s">
        <v>122</v>
      </c>
      <c r="G7" s="23">
        <f>(B7*24.8/1000)*Inputs_Assumptions!$B$7</f>
        <v>3698.7712000000001</v>
      </c>
      <c r="H7" s="8" t="s">
        <v>123</v>
      </c>
    </row>
    <row r="8" spans="1:8">
      <c r="A8" s="5" t="s">
        <v>124</v>
      </c>
      <c r="B8" s="24">
        <v>77418</v>
      </c>
      <c r="C8" s="28">
        <v>2.5356E-2</v>
      </c>
      <c r="D8" s="28">
        <v>1.5758999999999999E-2</v>
      </c>
      <c r="E8" s="29">
        <v>9.5969999999999996E-3</v>
      </c>
      <c r="F8" s="30" t="s">
        <v>125</v>
      </c>
      <c r="G8" s="23">
        <f>(B8*24.8/1000)*Inputs_Assumptions!$B$7</f>
        <v>3839.9328000000005</v>
      </c>
      <c r="H8" s="8" t="s">
        <v>126</v>
      </c>
    </row>
    <row r="9" spans="1:8">
      <c r="A9" s="5" t="s">
        <v>127</v>
      </c>
      <c r="B9" s="24">
        <v>79077</v>
      </c>
      <c r="C9" s="28">
        <v>2.1637E-2</v>
      </c>
      <c r="D9" s="28">
        <v>2.0230000000000001E-2</v>
      </c>
      <c r="E9" s="29">
        <v>1.407E-3</v>
      </c>
      <c r="F9" s="31" t="s">
        <v>128</v>
      </c>
      <c r="G9" s="23">
        <f>(B9*24.8/1000)*Inputs_Assumptions!$B$7</f>
        <v>3922.2192</v>
      </c>
      <c r="H9" s="8" t="s">
        <v>129</v>
      </c>
    </row>
    <row r="10" spans="1:8">
      <c r="A10" s="5" t="s">
        <v>130</v>
      </c>
      <c r="B10" s="24">
        <v>88805</v>
      </c>
      <c r="C10" s="28">
        <v>2.2464999999999999E-2</v>
      </c>
      <c r="D10" s="28">
        <v>1.6303000000000002E-2</v>
      </c>
      <c r="E10" s="29">
        <v>6.1619999999999999E-3</v>
      </c>
      <c r="F10" s="7" t="s">
        <v>131</v>
      </c>
      <c r="G10" s="23">
        <f>(B10*24.8/1000)*Inputs_Assumptions!$B$7</f>
        <v>4404.7280000000001</v>
      </c>
      <c r="H10" s="8" t="s">
        <v>132</v>
      </c>
    </row>
    <row r="11" spans="1:8">
      <c r="A11" s="5" t="s">
        <v>133</v>
      </c>
      <c r="B11" s="24">
        <v>78802</v>
      </c>
      <c r="C11" s="28">
        <v>2.1307E-2</v>
      </c>
      <c r="D11" s="28">
        <v>1.3996E-2</v>
      </c>
      <c r="E11" s="29">
        <v>7.3109999999999998E-3</v>
      </c>
      <c r="F11" s="7" t="s">
        <v>134</v>
      </c>
      <c r="G11" s="23">
        <f>(B11*24.8/1000)*Inputs_Assumptions!$B$7</f>
        <v>3908.5792000000001</v>
      </c>
      <c r="H11" s="8" t="s">
        <v>135</v>
      </c>
    </row>
    <row r="12" spans="1:8">
      <c r="A12" s="5" t="s">
        <v>136</v>
      </c>
      <c r="B12" s="24">
        <v>82332</v>
      </c>
      <c r="C12" s="28">
        <v>2.462E-2</v>
      </c>
      <c r="D12" s="28">
        <v>2.0594999999999999E-2</v>
      </c>
      <c r="E12" s="29">
        <v>4.0249999999999999E-3</v>
      </c>
      <c r="F12" s="31" t="s">
        <v>137</v>
      </c>
      <c r="G12" s="23">
        <f>(B12*24.8/1000)*Inputs_Assumptions!$B$7</f>
        <v>4083.6672000000003</v>
      </c>
      <c r="H12" s="8" t="s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Inputs_Assumptions</vt:lpstr>
      <vt:lpstr>Executive_Summary</vt:lpstr>
      <vt:lpstr>Sensitivity_Matrix</vt:lpstr>
      <vt:lpstr>Scenario_Comparison</vt:lpstr>
      <vt:lpstr>Timing_Hypothesis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Kaos Bubere</cp:lastModifiedBy>
  <dcterms:created xsi:type="dcterms:W3CDTF">2026-10-03T14:40:04Z</dcterms:created>
  <dcterms:modified xsi:type="dcterms:W3CDTF">2026-10-03T14:40:06Z</dcterms:modified>
</cp:coreProperties>
</file>